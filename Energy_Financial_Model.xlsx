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_Comps" sheetId="1" state="visible" r:id="rId1"/>
    <sheet name="COP_Model" sheetId="2" state="visible" r:id="rId2"/>
    <sheet name="CVX_Model" sheetId="3" state="visible" r:id="rId3"/>
    <sheet name="XOM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.0;($#,##0.0);&quot;-&quot;;@"/>
    <numFmt numFmtId="166" formatCode="0.0x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000FF"/>
      <sz val="11"/>
    </font>
    <font>
      <name val="Calibri"/>
      <i val="1"/>
      <color rgb="00000000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166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right" vertical="center"/>
    </xf>
    <xf numFmtId="0" fontId="7" fillId="0" borderId="1" pivotButton="0" quotePrefix="0" xfId="0"/>
    <xf numFmtId="165" fontId="6" fillId="0" borderId="1" applyAlignment="1" pivotButton="0" quotePrefix="0" xfId="0">
      <alignment horizontal="right" vertical="center"/>
    </xf>
    <xf numFmtId="0" fontId="4" fillId="0" borderId="2" pivotButton="0" quotePrefix="0" xfId="0"/>
    <xf numFmtId="165" fontId="5" fillId="0" borderId="2" applyAlignment="1" pivotButton="0" quotePrefix="0" xfId="0">
      <alignment horizontal="right" vertical="center"/>
    </xf>
    <xf numFmtId="0" fontId="6" fillId="4" borderId="2" pivotButton="0" quotePrefix="0" xfId="0"/>
    <xf numFmtId="167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0" customWidth="1" min="1" max="1"/>
    <col width="19" customWidth="1" min="2" max="2"/>
    <col width="19" customWidth="1" min="3" max="3"/>
    <col width="25" customWidth="1" min="4" max="4"/>
    <col width="20" customWidth="1" min="5" max="5"/>
    <col width="23" customWidth="1" min="6" max="6"/>
    <col width="27" customWidth="1" min="7" max="7"/>
    <col width="19" customWidth="1" min="8" max="8"/>
    <col width="19" customWidth="1" min="9" max="9"/>
    <col width="19" customWidth="1" min="10" max="10"/>
  </cols>
  <sheetData>
    <row r="1">
      <c r="A1" s="1" t="inlineStr">
        <is>
          <t>Energy Majors: Peer Valuation &amp; Comparative Multiples</t>
        </is>
      </c>
    </row>
    <row r="2">
      <c r="A2" s="2" t="inlineStr">
        <is>
          <t>Automated Comps Dashboard | Market Cap &amp; EV dynamically pulled from yfinance</t>
        </is>
      </c>
    </row>
    <row r="3"/>
    <row r="4">
      <c r="A4" s="3" t="inlineStr">
        <is>
          <t>Company / Ticker</t>
        </is>
      </c>
      <c r="B4" s="3" t="inlineStr">
        <is>
          <t>Share Price ($)</t>
        </is>
      </c>
      <c r="C4" s="3" t="inlineStr">
        <is>
          <t>Market Cap ($M)</t>
        </is>
      </c>
      <c r="D4" s="3" t="inlineStr">
        <is>
          <t>Enterprise Value ($M)</t>
        </is>
      </c>
      <c r="E4" s="3" t="inlineStr">
        <is>
          <t>LTM Revenue ($M)</t>
        </is>
      </c>
      <c r="F4" s="3" t="inlineStr">
        <is>
          <t>LTM Net Income ($M)</t>
        </is>
      </c>
      <c r="G4" s="3" t="inlineStr">
        <is>
          <t>LTM Free Cash Flow ($M)</t>
        </is>
      </c>
      <c r="H4" s="3" t="inlineStr">
        <is>
          <t>EV / Revenue</t>
        </is>
      </c>
      <c r="I4" s="3" t="inlineStr">
        <is>
          <t>P / E Ratio</t>
        </is>
      </c>
      <c r="J4" s="3" t="inlineStr">
        <is>
          <t>FCF Yield %</t>
        </is>
      </c>
    </row>
    <row r="5">
      <c r="A5" s="4" t="inlineStr">
        <is>
          <t>COP</t>
        </is>
      </c>
      <c r="B5" s="5" t="n">
        <v>137.56</v>
      </c>
      <c r="C5" s="6" t="n">
        <v>165256</v>
      </c>
      <c r="D5" s="6" t="n">
        <v>180854</v>
      </c>
      <c r="E5" s="6" t="n">
        <v>58944</v>
      </c>
      <c r="F5" s="6" t="n">
        <v>7988</v>
      </c>
      <c r="G5" s="6" t="n">
        <v>7243</v>
      </c>
      <c r="H5" s="7">
        <f>D5/E5</f>
        <v/>
      </c>
      <c r="I5" s="7">
        <f>C5/F5</f>
        <v/>
      </c>
      <c r="J5" s="8">
        <f>G5/C5</f>
        <v/>
      </c>
    </row>
    <row r="6">
      <c r="A6" s="4" t="inlineStr">
        <is>
          <t>CVX</t>
        </is>
      </c>
      <c r="B6" s="5" t="n">
        <v>215</v>
      </c>
      <c r="C6" s="6" t="n">
        <v>421744.7</v>
      </c>
      <c r="D6" s="6" t="n">
        <v>455964.7</v>
      </c>
      <c r="E6" s="6" t="n">
        <v>184432</v>
      </c>
      <c r="F6" s="6" t="n">
        <v>12299</v>
      </c>
      <c r="G6" s="6" t="n">
        <v>16592</v>
      </c>
      <c r="H6" s="7">
        <f>D6/E6</f>
        <v/>
      </c>
      <c r="I6" s="7">
        <f>C6/F6</f>
        <v/>
      </c>
      <c r="J6" s="8">
        <f>G6/C6</f>
        <v/>
      </c>
    </row>
    <row r="7">
      <c r="A7" s="4" t="inlineStr">
        <is>
          <t>XOM</t>
        </is>
      </c>
      <c r="B7" s="5" t="n">
        <v>172.15</v>
      </c>
      <c r="C7" s="6" t="n">
        <v>707865.6</v>
      </c>
      <c r="D7" s="6" t="n">
        <v>746376.7</v>
      </c>
      <c r="E7" s="6" t="n">
        <v>323905</v>
      </c>
      <c r="F7" s="6" t="n">
        <v>28844</v>
      </c>
      <c r="G7" s="6" t="n">
        <v>23612</v>
      </c>
      <c r="H7" s="7">
        <f>D7/E7</f>
        <v/>
      </c>
      <c r="I7" s="7">
        <f>C7/F7</f>
        <v/>
      </c>
      <c r="J7" s="8">
        <f>G7/C7</f>
        <v/>
      </c>
    </row>
    <row r="8">
      <c r="A8" s="9" t="inlineStr">
        <is>
          <t>Industry Average</t>
        </is>
      </c>
      <c r="B8" s="10" t="n"/>
      <c r="C8" s="10" t="n"/>
      <c r="D8" s="10" t="n"/>
      <c r="E8" s="10" t="n"/>
      <c r="F8" s="10" t="n"/>
      <c r="G8" s="10" t="n"/>
      <c r="H8" s="11">
        <f>AVERAGE(H5:H7)</f>
        <v/>
      </c>
      <c r="I8" s="11">
        <f>AVERAGE(I5:I7)</f>
        <v/>
      </c>
      <c r="J8" s="12">
        <f>AVERAGE(J5:J7)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COP - Automated Financial Statements &amp; KPIs</t>
        </is>
      </c>
    </row>
    <row r="2">
      <c r="A2" s="2" t="inlineStr">
        <is>
          <t>Source: SQLite (energy_financials.db) | Model Built with Python openpyxl</t>
        </is>
      </c>
    </row>
    <row r="3"/>
    <row r="4">
      <c r="A4" s="13" t="inlineStr">
        <is>
          <t>Financial Metric / Line Item</t>
        </is>
      </c>
      <c r="B4" s="14" t="inlineStr">
        <is>
          <t>FY 2022</t>
        </is>
      </c>
      <c r="C4" s="14" t="inlineStr">
        <is>
          <t>FY 2023</t>
        </is>
      </c>
      <c r="D4" s="14" t="inlineStr">
        <is>
          <t>FY 2024</t>
        </is>
      </c>
      <c r="E4" s="14" t="inlineStr">
        <is>
          <t>FY 2025</t>
        </is>
      </c>
    </row>
    <row r="5">
      <c r="A5" s="15" t="inlineStr">
        <is>
          <t>Total Revenue ($M)</t>
        </is>
      </c>
      <c r="B5" s="6" t="n">
        <v>78494</v>
      </c>
      <c r="C5" s="6" t="n">
        <v>56141</v>
      </c>
      <c r="D5" s="6" t="n">
        <v>54745</v>
      </c>
      <c r="E5" s="6" t="n">
        <v>58944</v>
      </c>
    </row>
    <row r="6">
      <c r="A6" s="16" t="inlineStr">
        <is>
          <t xml:space="preserve">  ↳ YoY Revenue Growth %</t>
        </is>
      </c>
      <c r="B6" s="17" t="inlineStr">
        <is>
          <t>N/A</t>
        </is>
      </c>
      <c r="C6" s="18">
        <f>(C5-B5)/B5</f>
        <v/>
      </c>
      <c r="D6" s="18">
        <f>(D5-C5)/C5</f>
        <v/>
      </c>
      <c r="E6" s="18">
        <f>(E5-D5)/D5</f>
        <v/>
      </c>
    </row>
    <row r="7">
      <c r="A7" s="19" t="inlineStr">
        <is>
          <t>Cost of Goods Sold (COGS) ($M)</t>
        </is>
      </c>
      <c r="B7" s="6" t="n">
        <v>48481</v>
      </c>
      <c r="C7" s="6" t="n">
        <v>37938</v>
      </c>
      <c r="D7" s="6" t="n">
        <v>38362</v>
      </c>
      <c r="E7" s="6" t="n">
        <v>44156</v>
      </c>
    </row>
    <row r="8">
      <c r="A8" s="15" t="inlineStr">
        <is>
          <t>Gross Profit ($M)</t>
        </is>
      </c>
      <c r="B8" s="20">
        <f>B5-B7</f>
        <v/>
      </c>
      <c r="C8" s="20">
        <f>C5-C7</f>
        <v/>
      </c>
      <c r="D8" s="20">
        <f>D5-D7</f>
        <v/>
      </c>
      <c r="E8" s="20">
        <f>E5-E7</f>
        <v/>
      </c>
    </row>
    <row r="9">
      <c r="A9" s="16" t="inlineStr">
        <is>
          <t xml:space="preserve">  ↳ Gross Margin %</t>
        </is>
      </c>
      <c r="B9" s="18">
        <f>B8/B5</f>
        <v/>
      </c>
      <c r="C9" s="18">
        <f>C8/C5</f>
        <v/>
      </c>
      <c r="D9" s="18">
        <f>D8/D5</f>
        <v/>
      </c>
      <c r="E9" s="18">
        <f>E8/E5</f>
        <v/>
      </c>
    </row>
    <row r="10">
      <c r="A10" s="15" t="inlineStr">
        <is>
          <t>Operating Income (EBIT) ($M)</t>
        </is>
      </c>
      <c r="B10" s="6" t="n">
        <v>25462</v>
      </c>
      <c r="C10" s="6" t="n">
        <v>15026</v>
      </c>
      <c r="D10" s="6" t="n">
        <v>12783</v>
      </c>
      <c r="E10" s="6" t="n">
        <v>11342</v>
      </c>
    </row>
    <row r="11">
      <c r="A11" s="16" t="inlineStr">
        <is>
          <t xml:space="preserve">  ↳ Operating Margin %</t>
        </is>
      </c>
      <c r="B11" s="18">
        <f>B10/B5</f>
        <v/>
      </c>
      <c r="C11" s="18">
        <f>C10/C5</f>
        <v/>
      </c>
      <c r="D11" s="18">
        <f>D10/D5</f>
        <v/>
      </c>
      <c r="E11" s="18">
        <f>E10/E5</f>
        <v/>
      </c>
    </row>
    <row r="12">
      <c r="A12" s="21" t="inlineStr">
        <is>
          <t>Net Income ($M)</t>
        </is>
      </c>
      <c r="B12" s="22" t="n">
        <v>18680</v>
      </c>
      <c r="C12" s="22" t="n">
        <v>10957</v>
      </c>
      <c r="D12" s="22" t="n">
        <v>9245</v>
      </c>
      <c r="E12" s="22" t="n">
        <v>7988</v>
      </c>
    </row>
    <row r="13">
      <c r="A13" s="15" t="inlineStr">
        <is>
          <t>Free Cash Flow (FCF) ($M)</t>
        </is>
      </c>
      <c r="B13" s="6" t="n">
        <v>18155</v>
      </c>
      <c r="C13" s="6" t="n">
        <v>8717</v>
      </c>
      <c r="D13" s="6" t="n">
        <v>8006</v>
      </c>
      <c r="E13" s="6" t="n">
        <v>7243</v>
      </c>
    </row>
    <row r="14">
      <c r="A14" s="23" t="inlineStr">
        <is>
          <t xml:space="preserve">  ↳ FCF Conversion % (FCF / Net Income)</t>
        </is>
      </c>
      <c r="B14" s="24">
        <f>B13/B12</f>
        <v/>
      </c>
      <c r="C14" s="24">
        <f>C13/C12</f>
        <v/>
      </c>
      <c r="D14" s="24">
        <f>D13/D12</f>
        <v/>
      </c>
      <c r="E14" s="24">
        <f>E13/E12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CVX - Automated Financial Statements &amp; KPIs</t>
        </is>
      </c>
    </row>
    <row r="2">
      <c r="A2" s="2" t="inlineStr">
        <is>
          <t>Source: SQLite (energy_financials.db) | Model Built with Python openpyxl</t>
        </is>
      </c>
    </row>
    <row r="3"/>
    <row r="4">
      <c r="A4" s="13" t="inlineStr">
        <is>
          <t>Financial Metric / Line Item</t>
        </is>
      </c>
      <c r="B4" s="14" t="inlineStr">
        <is>
          <t>FY 2022</t>
        </is>
      </c>
      <c r="C4" s="14" t="inlineStr">
        <is>
          <t>FY 2023</t>
        </is>
      </c>
      <c r="D4" s="14" t="inlineStr">
        <is>
          <t>FY 2024</t>
        </is>
      </c>
      <c r="E4" s="14" t="inlineStr">
        <is>
          <t>FY 2025</t>
        </is>
      </c>
    </row>
    <row r="5">
      <c r="A5" s="15" t="inlineStr">
        <is>
          <t>Total Revenue ($M)</t>
        </is>
      </c>
      <c r="B5" s="6" t="n">
        <v>235717</v>
      </c>
      <c r="C5" s="6" t="n">
        <v>196913</v>
      </c>
      <c r="D5" s="6" t="n">
        <v>193414</v>
      </c>
      <c r="E5" s="6" t="n">
        <v>184432</v>
      </c>
    </row>
    <row r="6">
      <c r="A6" s="16" t="inlineStr">
        <is>
          <t xml:space="preserve">  ↳ YoY Revenue Growth %</t>
        </is>
      </c>
      <c r="B6" s="17" t="inlineStr">
        <is>
          <t>N/A</t>
        </is>
      </c>
      <c r="C6" s="18">
        <f>(C5-B5)/B5</f>
        <v/>
      </c>
      <c r="D6" s="18">
        <f>(D5-C5)/C5</f>
        <v/>
      </c>
      <c r="E6" s="18">
        <f>(E5-D5)/D5</f>
        <v/>
      </c>
    </row>
    <row r="7">
      <c r="A7" s="19" t="inlineStr">
        <is>
          <t>Cost of Goods Sold (COGS) ($M)</t>
        </is>
      </c>
      <c r="B7" s="6" t="n">
        <v>161735</v>
      </c>
      <c r="C7" s="6" t="n">
        <v>136522</v>
      </c>
      <c r="D7" s="6" t="n">
        <v>136488</v>
      </c>
      <c r="E7" s="6" t="n">
        <v>128346</v>
      </c>
    </row>
    <row r="8">
      <c r="A8" s="15" t="inlineStr">
        <is>
          <t>Gross Profit ($M)</t>
        </is>
      </c>
      <c r="B8" s="20">
        <f>B5-B7</f>
        <v/>
      </c>
      <c r="C8" s="20">
        <f>C5-C7</f>
        <v/>
      </c>
      <c r="D8" s="20">
        <f>D5-D7</f>
        <v/>
      </c>
      <c r="E8" s="20">
        <f>E5-E7</f>
        <v/>
      </c>
    </row>
    <row r="9">
      <c r="A9" s="16" t="inlineStr">
        <is>
          <t xml:space="preserve">  ↳ Gross Margin %</t>
        </is>
      </c>
      <c r="B9" s="18">
        <f>B8/B5</f>
        <v/>
      </c>
      <c r="C9" s="18">
        <f>C8/C5</f>
        <v/>
      </c>
      <c r="D9" s="18">
        <f>D8/D5</f>
        <v/>
      </c>
      <c r="E9" s="18">
        <f>E8/E5</f>
        <v/>
      </c>
    </row>
    <row r="10">
      <c r="A10" s="15" t="inlineStr">
        <is>
          <t>Operating Income (EBIT) ($M)</t>
        </is>
      </c>
      <c r="B10" s="6" t="n">
        <v>39950</v>
      </c>
      <c r="C10" s="6" t="n">
        <v>26229</v>
      </c>
      <c r="D10" s="6" t="n">
        <v>18917</v>
      </c>
      <c r="E10" s="6" t="n">
        <v>16674</v>
      </c>
    </row>
    <row r="11">
      <c r="A11" s="16" t="inlineStr">
        <is>
          <t xml:space="preserve">  ↳ Operating Margin %</t>
        </is>
      </c>
      <c r="B11" s="18">
        <f>B10/B5</f>
        <v/>
      </c>
      <c r="C11" s="18">
        <f>C10/C5</f>
        <v/>
      </c>
      <c r="D11" s="18">
        <f>D10/D5</f>
        <v/>
      </c>
      <c r="E11" s="18">
        <f>E10/E5</f>
        <v/>
      </c>
    </row>
    <row r="12">
      <c r="A12" s="21" t="inlineStr">
        <is>
          <t>Net Income ($M)</t>
        </is>
      </c>
      <c r="B12" s="22" t="n">
        <v>35465</v>
      </c>
      <c r="C12" s="22" t="n">
        <v>21369</v>
      </c>
      <c r="D12" s="22" t="n">
        <v>17661</v>
      </c>
      <c r="E12" s="22" t="n">
        <v>12299</v>
      </c>
    </row>
    <row r="13">
      <c r="A13" s="15" t="inlineStr">
        <is>
          <t>Free Cash Flow (FCF) ($M)</t>
        </is>
      </c>
      <c r="B13" s="6" t="n">
        <v>37628</v>
      </c>
      <c r="C13" s="6" t="n">
        <v>19780</v>
      </c>
      <c r="D13" s="6" t="n">
        <v>15044</v>
      </c>
      <c r="E13" s="6" t="n">
        <v>16592</v>
      </c>
    </row>
    <row r="14">
      <c r="A14" s="23" t="inlineStr">
        <is>
          <t xml:space="preserve">  ↳ FCF Conversion % (FCF / Net Income)</t>
        </is>
      </c>
      <c r="B14" s="24">
        <f>B13/B12</f>
        <v/>
      </c>
      <c r="C14" s="24">
        <f>C13/C12</f>
        <v/>
      </c>
      <c r="D14" s="24">
        <f>D13/D12</f>
        <v/>
      </c>
      <c r="E14" s="24">
        <f>E13/E12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XOM - Automated Financial Statements &amp; KPIs</t>
        </is>
      </c>
    </row>
    <row r="2">
      <c r="A2" s="2" t="inlineStr">
        <is>
          <t>Source: SQLite (energy_financials.db) | Model Built with Python openpyxl</t>
        </is>
      </c>
    </row>
    <row r="3"/>
    <row r="4">
      <c r="A4" s="13" t="inlineStr">
        <is>
          <t>Financial Metric / Line Item</t>
        </is>
      </c>
      <c r="B4" s="14" t="inlineStr">
        <is>
          <t>FY 2022</t>
        </is>
      </c>
      <c r="C4" s="14" t="inlineStr">
        <is>
          <t>FY 2023</t>
        </is>
      </c>
      <c r="D4" s="14" t="inlineStr">
        <is>
          <t>FY 2024</t>
        </is>
      </c>
      <c r="E4" s="14" t="inlineStr">
        <is>
          <t>FY 2025</t>
        </is>
      </c>
    </row>
    <row r="5">
      <c r="A5" s="15" t="inlineStr">
        <is>
          <t>Total Revenue ($M)</t>
        </is>
      </c>
      <c r="B5" s="6" t="n">
        <v>398675</v>
      </c>
      <c r="C5" s="6" t="n">
        <v>334697</v>
      </c>
      <c r="D5" s="6" t="n">
        <v>339247</v>
      </c>
      <c r="E5" s="6" t="n">
        <v>323905</v>
      </c>
    </row>
    <row r="6">
      <c r="A6" s="16" t="inlineStr">
        <is>
          <t xml:space="preserve">  ↳ YoY Revenue Growth %</t>
        </is>
      </c>
      <c r="B6" s="17" t="inlineStr">
        <is>
          <t>N/A</t>
        </is>
      </c>
      <c r="C6" s="18">
        <f>(C5-B5)/B5</f>
        <v/>
      </c>
      <c r="D6" s="18">
        <f>(D5-C5)/C5</f>
        <v/>
      </c>
      <c r="E6" s="18">
        <f>(E5-D5)/D5</f>
        <v/>
      </c>
    </row>
    <row r="7">
      <c r="A7" s="19" t="inlineStr">
        <is>
          <t>Cost of Goods Sold (COGS) ($M)</t>
        </is>
      </c>
      <c r="B7" s="6" t="n">
        <v>295608</v>
      </c>
      <c r="C7" s="6" t="n">
        <v>250555</v>
      </c>
      <c r="D7" s="6" t="n">
        <v>262505</v>
      </c>
      <c r="E7" s="6" t="n">
        <v>252665</v>
      </c>
    </row>
    <row r="8">
      <c r="A8" s="15" t="inlineStr">
        <is>
          <t>Gross Profit ($M)</t>
        </is>
      </c>
      <c r="B8" s="20">
        <f>B5-B7</f>
        <v/>
      </c>
      <c r="C8" s="20">
        <f>C5-C7</f>
        <v/>
      </c>
      <c r="D8" s="20">
        <f>D5-D7</f>
        <v/>
      </c>
      <c r="E8" s="20">
        <f>E5-E7</f>
        <v/>
      </c>
    </row>
    <row r="9">
      <c r="A9" s="16" t="inlineStr">
        <is>
          <t xml:space="preserve">  ↳ Gross Margin %</t>
        </is>
      </c>
      <c r="B9" s="18">
        <f>B8/B5</f>
        <v/>
      </c>
      <c r="C9" s="18">
        <f>C8/C5</f>
        <v/>
      </c>
      <c r="D9" s="18">
        <f>D8/D5</f>
        <v/>
      </c>
      <c r="E9" s="18">
        <f>E8/E5</f>
        <v/>
      </c>
    </row>
    <row r="10">
      <c r="A10" s="15" t="inlineStr">
        <is>
          <t>Operating Income (EBIT) ($M)</t>
        </is>
      </c>
      <c r="B10" s="6" t="n">
        <v>64028</v>
      </c>
      <c r="C10" s="6" t="n">
        <v>44461</v>
      </c>
      <c r="D10" s="6" t="n">
        <v>39652</v>
      </c>
      <c r="E10" s="6" t="n">
        <v>33938</v>
      </c>
    </row>
    <row r="11">
      <c r="A11" s="16" t="inlineStr">
        <is>
          <t xml:space="preserve">  ↳ Operating Margin %</t>
        </is>
      </c>
      <c r="B11" s="18">
        <f>B10/B5</f>
        <v/>
      </c>
      <c r="C11" s="18">
        <f>C10/C5</f>
        <v/>
      </c>
      <c r="D11" s="18">
        <f>D10/D5</f>
        <v/>
      </c>
      <c r="E11" s="18">
        <f>E10/E5</f>
        <v/>
      </c>
    </row>
    <row r="12">
      <c r="A12" s="21" t="inlineStr">
        <is>
          <t>Net Income ($M)</t>
        </is>
      </c>
      <c r="B12" s="22" t="n">
        <v>55740</v>
      </c>
      <c r="C12" s="22" t="n">
        <v>36010</v>
      </c>
      <c r="D12" s="22" t="n">
        <v>33680</v>
      </c>
      <c r="E12" s="22" t="n">
        <v>28844</v>
      </c>
    </row>
    <row r="13">
      <c r="A13" s="15" t="inlineStr">
        <is>
          <t>Free Cash Flow (FCF) ($M)</t>
        </is>
      </c>
      <c r="B13" s="6" t="n">
        <v>58390</v>
      </c>
      <c r="C13" s="6" t="n">
        <v>33450</v>
      </c>
      <c r="D13" s="6" t="n">
        <v>30716</v>
      </c>
      <c r="E13" s="6" t="n">
        <v>23612</v>
      </c>
    </row>
    <row r="14">
      <c r="A14" s="23" t="inlineStr">
        <is>
          <t xml:space="preserve">  ↳ FCF Conversion % (FCF / Net Income)</t>
        </is>
      </c>
      <c r="B14" s="24">
        <f>B13/B12</f>
        <v/>
      </c>
      <c r="C14" s="24">
        <f>C13/C12</f>
        <v/>
      </c>
      <c r="D14" s="24">
        <f>D13/D12</f>
        <v/>
      </c>
      <c r="E14" s="24">
        <f>E13/E12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2026-10-13T06:09:01Z</dcterms:created>
  <dcterms:modified xsi:type="dcterms:W3CDTF">2026-10-13T06:09:02Z</dcterms:modified>
</cp:coreProperties>
</file>